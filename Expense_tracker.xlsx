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Excel_data_analysis\mini_project\"/>
    </mc:Choice>
  </mc:AlternateContent>
  <xr:revisionPtr revIDLastSave="0" documentId="13_ncr:1_{EE5F3F97-FE7C-4A54-8E36-E0FF7C654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-sept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C15" i="1"/>
  <c r="C16" i="1"/>
  <c r="C17" i="1"/>
  <c r="C14" i="1"/>
  <c r="B17" i="1"/>
  <c r="B16" i="1"/>
  <c r="B15" i="1"/>
  <c r="B14" i="1"/>
  <c r="B13" i="1"/>
  <c r="G7" i="1"/>
  <c r="G6" i="1"/>
  <c r="G3" i="1"/>
  <c r="G4" i="1"/>
  <c r="G5" i="1"/>
  <c r="G8" i="1"/>
  <c r="G9" i="1"/>
  <c r="G2" i="1"/>
  <c r="H3" i="1"/>
  <c r="H4" i="1"/>
  <c r="H5" i="1"/>
  <c r="H6" i="1"/>
  <c r="H7" i="1"/>
  <c r="H8" i="1"/>
  <c r="H9" i="1"/>
  <c r="H2" i="1"/>
  <c r="F2" i="1"/>
  <c r="F3" i="1"/>
  <c r="F4" i="1"/>
  <c r="F5" i="1"/>
  <c r="F6" i="1"/>
  <c r="F7" i="1"/>
  <c r="F8" i="1"/>
  <c r="F9" i="1"/>
  <c r="E2" i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<sst xmlns="http://schemas.openxmlformats.org/spreadsheetml/2006/main" count="35" uniqueCount="27">
  <si>
    <t>sno.</t>
  </si>
  <si>
    <t>category</t>
  </si>
  <si>
    <t xml:space="preserve">amount </t>
  </si>
  <si>
    <t>description</t>
  </si>
  <si>
    <t>food</t>
  </si>
  <si>
    <t>milk</t>
  </si>
  <si>
    <t>biscuitt</t>
  </si>
  <si>
    <t>fruits</t>
  </si>
  <si>
    <t>lic</t>
  </si>
  <si>
    <t>installment</t>
  </si>
  <si>
    <t>Mobile balance</t>
  </si>
  <si>
    <t>recharge</t>
  </si>
  <si>
    <t>TV</t>
  </si>
  <si>
    <t>dinner</t>
  </si>
  <si>
    <t>Movie</t>
  </si>
  <si>
    <t>fun</t>
  </si>
  <si>
    <t xml:space="preserve">recharge </t>
  </si>
  <si>
    <t>total expenses</t>
  </si>
  <si>
    <t>food expenses</t>
  </si>
  <si>
    <t>installment expenses</t>
  </si>
  <si>
    <t>recharge expenses</t>
  </si>
  <si>
    <t>fun expense</t>
  </si>
  <si>
    <t>ALL</t>
  </si>
  <si>
    <t>percentage</t>
  </si>
  <si>
    <t>total amount</t>
  </si>
  <si>
    <t>Average Transaction 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</si>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</sst>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16" sqref="D16"/>
    </sheetView>
  </sheetViews>
  <sheetFormatPr defaultRowHeight="14.4" x14ac:dyDescent="0.3"/>
  <cols>
    <col min="1" max="4" width="26.33203125" customWidth="1"/>
    <col min="5" max="8" width="17.6640625" customWidth="1"/>
  </cols>
  <sheetData>
    <row r="1" spans="1:8" x14ac:dyDescent="0.3">
      <c r="A1" s="5" t="s">
        <v>0</v>
      </c>
      <c r="B1" s="5" t="s">
        <v>3</v>
      </c>
      <c r="C1" s="5" t="s">
        <v>1</v>
      </c>
      <c r="D1" s="5" t="s">
        <v>2</v>
      </c>
      <c r="E1" s="5" t="s">
        <v>4</v>
      </c>
      <c r="F1" s="5" t="s">
        <v>9</v>
      </c>
      <c r="G1" s="5" t="s">
        <v>16</v>
      </c>
      <c r="H1" s="5" t="s">
        <v>15</v>
      </c>
    </row>
    <row r="2" spans="1:8" x14ac:dyDescent="0.3">
      <c r="A2" s="6">
        <v>1</v>
      </c>
      <c r="B2" s="6" t="s">
        <v>5</v>
      </c>
      <c r="C2" s="6" t="s">
        <v>4</v>
      </c>
      <c r="D2" s="6">
        <v>15</v>
      </c>
      <c r="E2" s="6">
        <f>COUNTIF(C2,"food")*D2</f>
        <v>15</v>
      </c>
      <c r="F2" s="6">
        <f>COUNTIF(C2,"installment")*D2</f>
        <v>0</v>
      </c>
      <c r="G2" s="6">
        <f>COUNTIF(C2,"recharge")*D2</f>
        <v>0</v>
      </c>
      <c r="H2" s="6">
        <f>COUNTIF(C2,"fun")*D2</f>
        <v>0</v>
      </c>
    </row>
    <row r="3" spans="1:8" x14ac:dyDescent="0.3">
      <c r="A3" s="6">
        <v>2</v>
      </c>
      <c r="B3" s="6" t="s">
        <v>6</v>
      </c>
      <c r="C3" s="6" t="s">
        <v>4</v>
      </c>
      <c r="D3" s="6">
        <v>50</v>
      </c>
      <c r="E3" s="6">
        <f t="shared" ref="E3:E9" si="0">COUNTIF(C3,"food")*D3</f>
        <v>50</v>
      </c>
      <c r="F3" s="6">
        <f t="shared" ref="F3:F9" si="1">COUNTIF(C3,"installment")*D3</f>
        <v>0</v>
      </c>
      <c r="G3" s="6">
        <f t="shared" ref="G3:G9" si="2">COUNTIF(C3,"recharge")*D3</f>
        <v>0</v>
      </c>
      <c r="H3" s="6">
        <f t="shared" ref="H3:H9" si="3">COUNTIF(C3,"fun")*D3</f>
        <v>0</v>
      </c>
    </row>
    <row r="4" spans="1:8" x14ac:dyDescent="0.3">
      <c r="A4" s="6">
        <v>3</v>
      </c>
      <c r="B4" s="6" t="s">
        <v>7</v>
      </c>
      <c r="C4" s="6" t="s">
        <v>4</v>
      </c>
      <c r="D4" s="6">
        <v>60</v>
      </c>
      <c r="E4" s="6">
        <f t="shared" si="0"/>
        <v>60</v>
      </c>
      <c r="F4" s="6">
        <f t="shared" si="1"/>
        <v>0</v>
      </c>
      <c r="G4" s="6">
        <f t="shared" si="2"/>
        <v>0</v>
      </c>
      <c r="H4" s="6">
        <f t="shared" si="3"/>
        <v>0</v>
      </c>
    </row>
    <row r="5" spans="1:8" x14ac:dyDescent="0.3">
      <c r="A5" s="6">
        <v>4</v>
      </c>
      <c r="B5" s="6" t="s">
        <v>8</v>
      </c>
      <c r="C5" s="6" t="s">
        <v>9</v>
      </c>
      <c r="D5" s="6">
        <v>5000</v>
      </c>
      <c r="E5" s="6">
        <f t="shared" si="0"/>
        <v>0</v>
      </c>
      <c r="F5" s="6">
        <f t="shared" si="1"/>
        <v>5000</v>
      </c>
      <c r="G5" s="6">
        <f t="shared" si="2"/>
        <v>0</v>
      </c>
      <c r="H5" s="6">
        <f t="shared" si="3"/>
        <v>0</v>
      </c>
    </row>
    <row r="6" spans="1:8" x14ac:dyDescent="0.3">
      <c r="A6" s="6">
        <v>5</v>
      </c>
      <c r="B6" s="6" t="s">
        <v>10</v>
      </c>
      <c r="C6" s="6" t="s">
        <v>11</v>
      </c>
      <c r="D6" s="6">
        <v>500</v>
      </c>
      <c r="E6" s="6">
        <f t="shared" si="0"/>
        <v>0</v>
      </c>
      <c r="F6" s="6">
        <f t="shared" si="1"/>
        <v>0</v>
      </c>
      <c r="G6" s="6">
        <f>COUNTIF(C6,"recharge")*D6</f>
        <v>500</v>
      </c>
      <c r="H6" s="6">
        <f t="shared" si="3"/>
        <v>0</v>
      </c>
    </row>
    <row r="7" spans="1:8" x14ac:dyDescent="0.3">
      <c r="A7" s="6">
        <v>6</v>
      </c>
      <c r="B7" s="6" t="s">
        <v>12</v>
      </c>
      <c r="C7" s="6" t="s">
        <v>11</v>
      </c>
      <c r="D7" s="6">
        <v>450</v>
      </c>
      <c r="E7" s="6">
        <f t="shared" si="0"/>
        <v>0</v>
      </c>
      <c r="F7" s="6">
        <f t="shared" si="1"/>
        <v>0</v>
      </c>
      <c r="G7" s="6">
        <f>COUNTIF(C7,"recharge")*D7</f>
        <v>450</v>
      </c>
      <c r="H7" s="6">
        <f t="shared" si="3"/>
        <v>0</v>
      </c>
    </row>
    <row r="8" spans="1:8" x14ac:dyDescent="0.3">
      <c r="A8" s="6">
        <v>7</v>
      </c>
      <c r="B8" s="6" t="s">
        <v>13</v>
      </c>
      <c r="C8" s="6" t="s">
        <v>4</v>
      </c>
      <c r="D8" s="6">
        <v>80</v>
      </c>
      <c r="E8" s="6">
        <f t="shared" si="0"/>
        <v>80</v>
      </c>
      <c r="F8" s="6">
        <f t="shared" si="1"/>
        <v>0</v>
      </c>
      <c r="G8" s="6">
        <f t="shared" si="2"/>
        <v>0</v>
      </c>
      <c r="H8" s="6">
        <f t="shared" si="3"/>
        <v>0</v>
      </c>
    </row>
    <row r="9" spans="1:8" x14ac:dyDescent="0.3">
      <c r="A9" s="6">
        <v>8</v>
      </c>
      <c r="B9" s="6" t="s">
        <v>14</v>
      </c>
      <c r="C9" s="6" t="s">
        <v>15</v>
      </c>
      <c r="D9" s="6">
        <v>150</v>
      </c>
      <c r="E9" s="6">
        <f t="shared" si="0"/>
        <v>0</v>
      </c>
      <c r="F9" s="6">
        <f t="shared" si="1"/>
        <v>0</v>
      </c>
      <c r="G9" s="6">
        <f t="shared" si="2"/>
        <v>0</v>
      </c>
      <c r="H9" s="6">
        <f t="shared" si="3"/>
        <v>150</v>
      </c>
    </row>
    <row r="12" spans="1:8" x14ac:dyDescent="0.3">
      <c r="A12" s="1" t="s">
        <v>22</v>
      </c>
      <c r="B12" s="2" t="s">
        <v>24</v>
      </c>
      <c r="C12" s="2" t="s">
        <v>23</v>
      </c>
    </row>
    <row r="13" spans="1:8" x14ac:dyDescent="0.3">
      <c r="A13" s="3" t="s">
        <v>17</v>
      </c>
      <c r="B13" s="4">
        <f>SUM(D2:D9)</f>
        <v>6305</v>
      </c>
      <c r="C13" s="4" t="s">
        <v>26</v>
      </c>
    </row>
    <row r="14" spans="1:8" x14ac:dyDescent="0.3">
      <c r="A14" s="3" t="s">
        <v>18</v>
      </c>
      <c r="B14" s="4">
        <f>SUM(E2:E9)</f>
        <v>205</v>
      </c>
      <c r="C14" s="4">
        <f>100*B14/SUM($B$14:$B$17)</f>
        <v>3.2513877874702617</v>
      </c>
    </row>
    <row r="15" spans="1:8" x14ac:dyDescent="0.3">
      <c r="A15" s="3" t="s">
        <v>19</v>
      </c>
      <c r="B15" s="4">
        <f>SUM(F2:F9)</f>
        <v>5000</v>
      </c>
      <c r="C15" s="4">
        <f t="shared" ref="C15:C17" si="4">100*B15/SUM($B$14:$B$17)</f>
        <v>79.302141157811263</v>
      </c>
    </row>
    <row r="16" spans="1:8" x14ac:dyDescent="0.3">
      <c r="A16" s="3" t="s">
        <v>20</v>
      </c>
      <c r="B16" s="4">
        <f>SUM(G2:G9)</f>
        <v>950</v>
      </c>
      <c r="C16" s="4">
        <f t="shared" si="4"/>
        <v>15.067406819984139</v>
      </c>
    </row>
    <row r="17" spans="1:3" x14ac:dyDescent="0.3">
      <c r="A17" s="3" t="s">
        <v>21</v>
      </c>
      <c r="B17" s="4">
        <f>SUM(H2:H9)</f>
        <v>150</v>
      </c>
      <c r="C17" s="4">
        <f t="shared" si="4"/>
        <v>2.3790642347343378</v>
      </c>
    </row>
    <row r="18" spans="1:3" x14ac:dyDescent="0.3">
      <c r="A18" s="3" t="s">
        <v>25</v>
      </c>
      <c r="B18" s="4">
        <f>AVERAGE(D2:D9)</f>
        <v>788.125</v>
      </c>
      <c r="C18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1-sept-2026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 Choure</cp:lastModifiedBy>
  <dcterms:created xsi:type="dcterms:W3CDTF">2015-06-05T18:17:20Z</dcterms:created>
  <dcterms:modified xsi:type="dcterms:W3CDTF">2026-09-01T16:42:18Z</dcterms:modified>
</cp:coreProperties>
</file>